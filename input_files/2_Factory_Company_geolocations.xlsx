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vunl-my.sharepoint.com/personal/elco_koks_vu_nl/Documents/2_Projects/AFD_Serbia/Data/socioeconomic/"/>
    </mc:Choice>
  </mc:AlternateContent>
  <xr:revisionPtr revIDLastSave="9" documentId="8_{856FB094-6D2A-4B45-AA1E-C320B4E8E400}" xr6:coauthVersionLast="47" xr6:coauthVersionMax="47" xr10:uidLastSave="{D9B5FECE-C328-4650-BB97-6B61D102777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3" i="1"/>
  <c r="G11" i="1"/>
  <c r="G9" i="1"/>
  <c r="G8" i="1"/>
  <c r="G7" i="1"/>
  <c r="G6" i="1"/>
  <c r="G3" i="1"/>
  <c r="G2" i="1"/>
</calcChain>
</file>

<file path=xl/sharedStrings.xml><?xml version="1.0" encoding="utf-8"?>
<sst xmlns="http://schemas.openxmlformats.org/spreadsheetml/2006/main" count="139" uniqueCount="137">
  <si>
    <t>Factory</t>
  </si>
  <si>
    <t>City</t>
  </si>
  <si>
    <t>Latitude</t>
  </si>
  <si>
    <t>Longitude</t>
  </si>
  <si>
    <t>OSM_Link</t>
  </si>
  <si>
    <t>OSM_Link_Formula</t>
  </si>
  <si>
    <t>Fijat automobili Srbija</t>
  </si>
  <si>
    <t>Kragujevac</t>
  </si>
  <si>
    <t>https://www.openstreetmap.org/?mlat=43.9971597&amp;mlon=20.8937764#map=12/43.9971597/20.8937764</t>
  </si>
  <si>
    <t>Naftna industrija Srbije</t>
  </si>
  <si>
    <t>Pančevo</t>
  </si>
  <si>
    <t>https://www.openstreetmap.org/?mlat=45.2418906&amp;mlon=19.8411511#map=12/45.2418906/19.8411511</t>
  </si>
  <si>
    <t>Tigar Tyers Pirot</t>
  </si>
  <si>
    <t>Pirot</t>
  </si>
  <si>
    <t>Hip Petrohemija Pančevo</t>
  </si>
  <si>
    <t>Hemofarm  Vrsac</t>
  </si>
  <si>
    <t>Vršac</t>
  </si>
  <si>
    <t>https://www.openstreetmap.org/?mlat=45.1011635&amp;mlon=21.2773419#map=12/45.1011635/21.2773419</t>
  </si>
  <si>
    <t>Gorenje Valjevo</t>
  </si>
  <si>
    <t>Valjevo</t>
  </si>
  <si>
    <t>https://www.openstreetmap.org/?mlat=44.2735402&amp;mlon=19.9139011#map=12/44.2735402/19.9139011</t>
  </si>
  <si>
    <t>Tarkett Bačka Palanka</t>
  </si>
  <si>
    <t>Bačka Palanka</t>
  </si>
  <si>
    <t>https://www.openstreetmap.org/?mlat=45.2430885&amp;mlon=19.4183664#map=12/45.2430885/19.4183664</t>
  </si>
  <si>
    <t>Železara Smederevo</t>
  </si>
  <si>
    <t>Smederevo</t>
  </si>
  <si>
    <t>https://www.openstreetmap.org/?mlat=44.6094336&amp;mlon=20.9661269#map=12/44.6094336/20.9661269</t>
  </si>
  <si>
    <t>Yura Corporation Rača</t>
  </si>
  <si>
    <t>Rača</t>
  </si>
  <si>
    <t>Valy Beloševac</t>
  </si>
  <si>
    <t>Beloševac</t>
  </si>
  <si>
    <t>https://www.openstreetmap.org/?mlat=44.2719013&amp;mlon=19.9569037#map=12/44.2719013/19.9569037</t>
  </si>
  <si>
    <t>RTB Invest Bor</t>
  </si>
  <si>
    <t>Bor</t>
  </si>
  <si>
    <t>Ball Packaging Beograd</t>
  </si>
  <si>
    <t>Beograd</t>
  </si>
  <si>
    <t>https://www.openstreetmap.org/?mlat=44.8124058&amp;mlon=20.4092231#map=12/44.8124058/20.4092231</t>
  </si>
  <si>
    <t>Impol Seval, Sevojno</t>
  </si>
  <si>
    <t>Sevojno</t>
  </si>
  <si>
    <t>https://www.openstreetmap.org/?mlat=43.8404393&amp;mlon=19.8873985#map=12/43.8404393/19.8873985</t>
  </si>
  <si>
    <t xml:space="preserve"> Sirmium Steel, Sremska Mitrovica</t>
  </si>
  <si>
    <t>Sremska Mitrovica</t>
  </si>
  <si>
    <t>Tetra Pak Production, Beograd</t>
  </si>
  <si>
    <t>Number</t>
  </si>
  <si>
    <t>NIS A.D. NOVI SAD</t>
  </si>
  <si>
    <t>JP SRBIJAGAS NOVI SAD</t>
  </si>
  <si>
    <t>Serbia Zijin Mining d.o.o.</t>
  </si>
  <si>
    <t>SERBIA ZIJIN COPPER DOO</t>
  </si>
  <si>
    <t>TIGAR TYRES DOO</t>
  </si>
  <si>
    <t>DELHAIZE SERBIA DOO BEOGRAD</t>
  </si>
  <si>
    <t>Telekom Srbija a.d., Beograd</t>
  </si>
  <si>
    <t>YUGOROSGAZ AD BEOGRAD</t>
  </si>
  <si>
    <t>Elektrodistribucija Srbije</t>
  </si>
  <si>
    <t>LIDL SRBIJA KD</t>
  </si>
  <si>
    <t>NELT CO. DOO BEOGRAD</t>
  </si>
  <si>
    <t>GEN – I DOO BEOGRAD</t>
  </si>
  <si>
    <t>MERCATA VT DOO</t>
  </si>
  <si>
    <t>MOL Serbia d.o.o. Beograd</t>
  </si>
  <si>
    <t>HENKEL SRBIJA DOO BEOGRAD</t>
  </si>
  <si>
    <t>EMS AD Beograd</t>
  </si>
  <si>
    <t>KNEZ PETROL DOO ZEMUN</t>
  </si>
  <si>
    <t>PHOENIX PHARMA DOO BEOGRAD</t>
  </si>
  <si>
    <t>COCA-COLA HBC – SRBIJA DOO ZEMUN</t>
  </si>
  <si>
    <t>HEMOFARM AD VRŠAC</t>
  </si>
  <si>
    <t>HIP-PETROHEMIJA DOO PANČEVO</t>
  </si>
  <si>
    <t>BECHTEL ENKA UK LIMITED OGRANAK</t>
  </si>
  <si>
    <t>OMV SRBIJA DOO BEOGRAD</t>
  </si>
  <si>
    <t>DOO VIMEKSIM SRB</t>
  </si>
  <si>
    <t>SCM POWER d.o.o. Beograd</t>
  </si>
  <si>
    <t>A1 SRBIJA</t>
  </si>
  <si>
    <t>ELIXIR ZORKA – MINERALNA ĐUBRIVA DOO</t>
  </si>
  <si>
    <t>ZF Serbia d.o.o.</t>
  </si>
  <si>
    <t>ROBERT BOSCH DOO BEOGRAD</t>
  </si>
  <si>
    <t>METALFER STEEL MILL DOO SREMSKA MITROVICA</t>
  </si>
  <si>
    <t>LUKOIL SRBIJA d.o.o. Beograd</t>
  </si>
  <si>
    <t>ELIXIR PRAHOVO DOO</t>
  </si>
  <si>
    <t>MILŠPED DOO BEOGRAD</t>
  </si>
  <si>
    <t>Beograd na vodi d.o.o.</t>
  </si>
  <si>
    <t>AGROMARKET DOO KRAGUJEVAC</t>
  </si>
  <si>
    <t>DELTA AGRAR DOO</t>
  </si>
  <si>
    <t>CHINA RAILWAY INTERNATIONAL CO., LTD. SERBIA OGRANAK BEOGRAD</t>
  </si>
  <si>
    <t>Philip Morris Operations</t>
  </si>
  <si>
    <t>SBB DOO BEOGRAD</t>
  </si>
  <si>
    <t>Comtrade Distribution d.o.o. Beograd</t>
  </si>
  <si>
    <t>GORENJE DOO VALJEVO</t>
  </si>
  <si>
    <t>JP Pošta Srbije Beograd</t>
  </si>
  <si>
    <t>DOO PROMIST NOVI SAD</t>
  </si>
  <si>
    <t>AGROGLOBE DOO NOVI SAD</t>
  </si>
  <si>
    <t>JT INTERNATIONAL AD SENTA</t>
  </si>
  <si>
    <t>Dunav osiguranje a.d.o.</t>
  </si>
  <si>
    <t>JKP BEOGRADSKE ELEKTRANE BEOGRAD</t>
  </si>
  <si>
    <t>BANCA INTESA AD BEOGRAD</t>
  </si>
  <si>
    <t>TETRA PAK PRODUCTION DOO BEOGRAD</t>
  </si>
  <si>
    <t>JINSHAN CONSTRUCTION D.O.O. BOR</t>
  </si>
  <si>
    <t>AD IMLEK</t>
  </si>
  <si>
    <t>UNIVEREXPORT DOO NOVI SAD</t>
  </si>
  <si>
    <t>GRUNDFOS SRBIJA DOO</t>
  </si>
  <si>
    <t>GEBI DOO PO ČANTAVIR</t>
  </si>
  <si>
    <t>SOJAPROTEIN DOO Bečej</t>
  </si>
  <si>
    <t>VALJAONICA BAKRA SEVOJNO AD SEVOJNO</t>
  </si>
  <si>
    <t>METRO CASH &amp; CARRY DOO BEOGRAD</t>
  </si>
  <si>
    <t>AMAN DOO BEOGRAD, SURČIN</t>
  </si>
  <si>
    <t>VEGA DOO VALJEVO</t>
  </si>
  <si>
    <t>JOHNSON ELECTRIC DOO NIŠ</t>
  </si>
  <si>
    <t>DIJAMANT DOO ZRENJANIN</t>
  </si>
  <si>
    <t>VICTORIAOIL DOO ŠID</t>
  </si>
  <si>
    <t>SUNOKO DOO NOVI SAD</t>
  </si>
  <si>
    <t>IM MATIJEVIĆ DOO NOVI SAD</t>
  </si>
  <si>
    <t>MOZZART DOO BEOGRAD (PALILULA)</t>
  </si>
  <si>
    <t>GENERALI OSIGURANJE SRBIJA a.d.o.</t>
  </si>
  <si>
    <t>IMPOL SEVAL AD, SEVOJNO</t>
  </si>
  <si>
    <t>ATLANTIC BRANDS DOO BEOGRAD</t>
  </si>
  <si>
    <t>Ball Pakovanja Evropa Beograd, d.o.o. Beograd</t>
  </si>
  <si>
    <t>Goodyear Serbia d.o.o.</t>
  </si>
  <si>
    <t>ELIXIR GROUP DOO</t>
  </si>
  <si>
    <t>OTP banka Srbija</t>
  </si>
  <si>
    <t>PEŠTAN DOO BUKOVIK</t>
  </si>
  <si>
    <t>UMKA D.O.O. UMKA</t>
  </si>
  <si>
    <t>PTP DIS DOO KRNJEVO</t>
  </si>
  <si>
    <t>EKO SERBIA AD BEOGRAD (NOVI BEOGRAD)</t>
  </si>
  <si>
    <t>Star Import d.o.o.</t>
  </si>
  <si>
    <t>DOO ALMEX PANČEVO</t>
  </si>
  <si>
    <t>FARMINA PET FOODS DOO INĐIJA</t>
  </si>
  <si>
    <t>MAGNA PHARMACIA DOO BEOGRAD</t>
  </si>
  <si>
    <t>SPORT VISION DOO BEOGRAD</t>
  </si>
  <si>
    <t>LAFARGE BFC SRBIJA DOO BEOČIN</t>
  </si>
  <si>
    <t>RWA Srbija d.o.o.</t>
  </si>
  <si>
    <t>dm drogerie markt doo Beograd</t>
  </si>
  <si>
    <t>DOO GOMEX ZRENJANIN</t>
  </si>
  <si>
    <t>COFICAB SERBIA D.O.O.</t>
  </si>
  <si>
    <t>DRENIK ND DOO BEOGRAD</t>
  </si>
  <si>
    <t>AZVIRT OGRANAK BEOGRAD</t>
  </si>
  <si>
    <t>FORMA IDEALE DOO KRAGUJEVAC</t>
  </si>
  <si>
    <t>FARMALOGIST DOO BEOGRAD</t>
  </si>
  <si>
    <t>APTIV MOBILITY SERVICES DOO</t>
  </si>
  <si>
    <t>UNICREDIT BANK SRBIJA A.D. BEOGRAD</t>
  </si>
  <si>
    <t>KARIN KOMERC MD DOO VETERNIK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</si>
</sst>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topLeftCell="A85" workbookViewId="0">
      <selection activeCell="E104" sqref="E104"/>
    </sheetView>
  </sheetViews>
  <sheetFormatPr defaultRowHeight="14.4" x14ac:dyDescent="0.3"/>
  <cols>
    <col min="2" max="2" width="16.88671875" customWidth="1"/>
    <col min="3" max="3" width="17.5546875" customWidth="1"/>
  </cols>
  <sheetData>
    <row r="1" spans="1:7" x14ac:dyDescent="0.3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>
        <v>1</v>
      </c>
      <c r="B2" t="s">
        <v>6</v>
      </c>
      <c r="C2" t="s">
        <v>7</v>
      </c>
      <c r="D2">
        <v>43.997159699999997</v>
      </c>
      <c r="E2">
        <v>20.8937764</v>
      </c>
      <c r="F2" t="s">
        <v>8</v>
      </c>
      <c r="G2" t="str">
        <f>HYPERLINK("https://www.openstreetmap.org/?mlat=43.9971597&amp;mlon=20.8937764#map=12/43.9971597/20.8937764", "View on map")</f>
        <v>View on map</v>
      </c>
    </row>
    <row r="3" spans="1:7" x14ac:dyDescent="0.3">
      <c r="A3">
        <v>2</v>
      </c>
      <c r="B3" t="s">
        <v>9</v>
      </c>
      <c r="C3" t="s">
        <v>10</v>
      </c>
      <c r="D3">
        <v>45.241890599999998</v>
      </c>
      <c r="E3">
        <v>19.841151100000001</v>
      </c>
      <c r="F3" t="s">
        <v>11</v>
      </c>
      <c r="G3" t="str">
        <f>HYPERLINK("https://www.openstreetmap.org/?mlat=45.2418906&amp;mlon=19.8411511#map=12/45.2418906/19.8411511", "View on map")</f>
        <v>View on map</v>
      </c>
    </row>
    <row r="4" spans="1:7" x14ac:dyDescent="0.3">
      <c r="A4">
        <v>3</v>
      </c>
      <c r="B4" t="s">
        <v>12</v>
      </c>
      <c r="C4" t="s">
        <v>13</v>
      </c>
      <c r="D4">
        <v>43.175162200000003</v>
      </c>
      <c r="E4">
        <v>22.5775088</v>
      </c>
    </row>
    <row r="5" spans="1:7" x14ac:dyDescent="0.3">
      <c r="A5">
        <v>4</v>
      </c>
      <c r="B5" t="s">
        <v>14</v>
      </c>
      <c r="C5" t="s">
        <v>10</v>
      </c>
      <c r="D5">
        <v>44.836337200000003</v>
      </c>
      <c r="E5">
        <v>20.6702549</v>
      </c>
    </row>
    <row r="6" spans="1:7" x14ac:dyDescent="0.3">
      <c r="A6">
        <v>5</v>
      </c>
      <c r="B6" t="s">
        <v>15</v>
      </c>
      <c r="C6" t="s">
        <v>16</v>
      </c>
      <c r="D6">
        <v>45.101163499999998</v>
      </c>
      <c r="E6">
        <v>21.2773419</v>
      </c>
      <c r="F6" t="s">
        <v>17</v>
      </c>
      <c r="G6" t="str">
        <f>HYPERLINK("https://www.openstreetmap.org/?mlat=45.1011635&amp;mlon=21.2773419#map=12/45.1011635/21.2773419", "View on map")</f>
        <v>View on map</v>
      </c>
    </row>
    <row r="7" spans="1:7" x14ac:dyDescent="0.3">
      <c r="A7">
        <v>6</v>
      </c>
      <c r="B7" t="s">
        <v>18</v>
      </c>
      <c r="C7" t="s">
        <v>19</v>
      </c>
      <c r="D7">
        <v>44.273540199999999</v>
      </c>
      <c r="E7">
        <v>19.9139011</v>
      </c>
      <c r="F7" t="s">
        <v>20</v>
      </c>
      <c r="G7" t="str">
        <f>HYPERLINK("https://www.openstreetmap.org/?mlat=44.2735402&amp;mlon=19.9139011#map=12/44.2735402/19.9139011", "View on map")</f>
        <v>View on map</v>
      </c>
    </row>
    <row r="8" spans="1:7" x14ac:dyDescent="0.3">
      <c r="A8">
        <v>7</v>
      </c>
      <c r="B8" t="s">
        <v>21</v>
      </c>
      <c r="C8" t="s">
        <v>22</v>
      </c>
      <c r="D8">
        <v>45.243088499999999</v>
      </c>
      <c r="E8">
        <v>19.4183664</v>
      </c>
      <c r="F8" t="s">
        <v>23</v>
      </c>
      <c r="G8" t="str">
        <f>HYPERLINK("https://www.openstreetmap.org/?mlat=45.2430885&amp;mlon=19.4183664#map=12/45.2430885/19.4183664", "View on map")</f>
        <v>View on map</v>
      </c>
    </row>
    <row r="9" spans="1:7" x14ac:dyDescent="0.3">
      <c r="A9">
        <v>8</v>
      </c>
      <c r="B9" t="s">
        <v>24</v>
      </c>
      <c r="C9" t="s">
        <v>25</v>
      </c>
      <c r="D9">
        <v>44.609433600000003</v>
      </c>
      <c r="E9">
        <v>20.966126899999999</v>
      </c>
      <c r="F9" t="s">
        <v>26</v>
      </c>
      <c r="G9" t="str">
        <f>HYPERLINK("https://www.openstreetmap.org/?mlat=44.6094336&amp;mlon=20.9661269#map=12/44.6094336/20.9661269", "View on map")</f>
        <v>View on map</v>
      </c>
    </row>
    <row r="10" spans="1:7" x14ac:dyDescent="0.3">
      <c r="A10">
        <v>9</v>
      </c>
      <c r="B10" t="s">
        <v>27</v>
      </c>
      <c r="C10" t="s">
        <v>28</v>
      </c>
      <c r="D10">
        <v>44.224449399999997</v>
      </c>
      <c r="E10">
        <v>20.977735800000001</v>
      </c>
    </row>
    <row r="11" spans="1:7" x14ac:dyDescent="0.3">
      <c r="A11">
        <v>10</v>
      </c>
      <c r="B11" t="s">
        <v>29</v>
      </c>
      <c r="C11" t="s">
        <v>30</v>
      </c>
      <c r="D11">
        <v>44.271901300000003</v>
      </c>
      <c r="E11">
        <v>19.956903700000002</v>
      </c>
      <c r="F11" t="s">
        <v>31</v>
      </c>
      <c r="G11" t="str">
        <f>HYPERLINK("https://www.openstreetmap.org/?mlat=44.2719013&amp;mlon=19.9569037#map=12/44.2719013/19.9569037", "View on map")</f>
        <v>View on map</v>
      </c>
    </row>
    <row r="12" spans="1:7" x14ac:dyDescent="0.3">
      <c r="A12">
        <v>11</v>
      </c>
      <c r="B12" t="s">
        <v>32</v>
      </c>
      <c r="C12" t="s">
        <v>33</v>
      </c>
      <c r="D12">
        <v>44.081267400000002</v>
      </c>
      <c r="E12">
        <v>22.093903300000001</v>
      </c>
    </row>
    <row r="13" spans="1:7" x14ac:dyDescent="0.3">
      <c r="A13">
        <v>12</v>
      </c>
      <c r="B13" t="s">
        <v>34</v>
      </c>
      <c r="C13" t="s">
        <v>35</v>
      </c>
      <c r="D13">
        <v>44.812405800000001</v>
      </c>
      <c r="E13">
        <v>20.409223099999998</v>
      </c>
      <c r="F13" t="s">
        <v>36</v>
      </c>
      <c r="G13" t="str">
        <f>HYPERLINK("https://www.openstreetmap.org/?mlat=44.8124058&amp;mlon=20.4092231#map=12/44.8124058/20.4092231", "View on map")</f>
        <v>View on map</v>
      </c>
    </row>
    <row r="14" spans="1:7" x14ac:dyDescent="0.3">
      <c r="A14">
        <v>13</v>
      </c>
      <c r="B14" t="s">
        <v>37</v>
      </c>
      <c r="C14" t="s">
        <v>38</v>
      </c>
      <c r="D14">
        <v>43.8404393</v>
      </c>
      <c r="E14">
        <v>19.8873985</v>
      </c>
      <c r="F14" t="s">
        <v>39</v>
      </c>
      <c r="G14" t="str">
        <f>HYPERLINK("https://www.openstreetmap.org/?mlat=43.8404393&amp;mlon=19.8873985#map=12/43.8404393/19.8873985", "View on map")</f>
        <v>View on map</v>
      </c>
    </row>
    <row r="15" spans="1:7" x14ac:dyDescent="0.3">
      <c r="A15">
        <v>14</v>
      </c>
      <c r="B15" t="s">
        <v>40</v>
      </c>
      <c r="C15" t="s">
        <v>41</v>
      </c>
      <c r="D15">
        <v>44.977283</v>
      </c>
      <c r="E15">
        <v>19.644218800000001</v>
      </c>
    </row>
    <row r="16" spans="1:7" x14ac:dyDescent="0.3">
      <c r="A16">
        <v>15</v>
      </c>
      <c r="B16" t="s">
        <v>42</v>
      </c>
      <c r="C16" t="s">
        <v>35</v>
      </c>
      <c r="D16">
        <v>44.812192099999997</v>
      </c>
      <c r="E16">
        <v>20.406206000000001</v>
      </c>
    </row>
    <row r="17" spans="1:5" x14ac:dyDescent="0.3">
      <c r="A17">
        <v>16</v>
      </c>
      <c r="B17" t="s">
        <v>44</v>
      </c>
      <c r="D17">
        <v>45.242052399999999</v>
      </c>
      <c r="E17">
        <v>19.841159399999999</v>
      </c>
    </row>
    <row r="18" spans="1:5" x14ac:dyDescent="0.3">
      <c r="A18">
        <v>17</v>
      </c>
      <c r="B18" t="s">
        <v>45</v>
      </c>
      <c r="D18">
        <v>45.281702699999997</v>
      </c>
      <c r="E18">
        <v>19.8524849</v>
      </c>
    </row>
    <row r="19" spans="1:5" x14ac:dyDescent="0.3">
      <c r="A19">
        <v>18</v>
      </c>
      <c r="B19" t="s">
        <v>46</v>
      </c>
      <c r="D19">
        <v>44.0076161</v>
      </c>
      <c r="E19">
        <v>22.134673200000002</v>
      </c>
    </row>
    <row r="20" spans="1:5" x14ac:dyDescent="0.3">
      <c r="A20">
        <v>19</v>
      </c>
      <c r="B20" t="s">
        <v>47</v>
      </c>
      <c r="D20">
        <v>44.081087900000007</v>
      </c>
      <c r="E20">
        <v>22.098197800000001</v>
      </c>
    </row>
    <row r="21" spans="1:5" x14ac:dyDescent="0.3">
      <c r="A21">
        <v>20</v>
      </c>
      <c r="B21" t="s">
        <v>48</v>
      </c>
      <c r="D21">
        <v>43.1751583</v>
      </c>
      <c r="E21">
        <v>22.580083800000001</v>
      </c>
    </row>
    <row r="22" spans="1:5" x14ac:dyDescent="0.3">
      <c r="A22">
        <v>21</v>
      </c>
      <c r="B22" t="s">
        <v>49</v>
      </c>
      <c r="D22">
        <v>44.812544899999999</v>
      </c>
      <c r="E22">
        <v>20.46123</v>
      </c>
    </row>
    <row r="23" spans="1:5" x14ac:dyDescent="0.3">
      <c r="A23">
        <v>22</v>
      </c>
      <c r="B23" t="s">
        <v>50</v>
      </c>
      <c r="D23">
        <v>44.812544899999999</v>
      </c>
      <c r="E23">
        <v>20.46123</v>
      </c>
    </row>
    <row r="24" spans="1:5" x14ac:dyDescent="0.3">
      <c r="A24">
        <v>23</v>
      </c>
      <c r="B24" t="s">
        <v>51</v>
      </c>
      <c r="D24">
        <v>44.812544899999999</v>
      </c>
      <c r="E24">
        <v>20.46123</v>
      </c>
    </row>
    <row r="25" spans="1:5" x14ac:dyDescent="0.3">
      <c r="A25">
        <v>24</v>
      </c>
      <c r="B25" t="s">
        <v>52</v>
      </c>
      <c r="D25">
        <v>44.818211499999997</v>
      </c>
      <c r="E25">
        <v>20.412919500000001</v>
      </c>
    </row>
    <row r="26" spans="1:5" x14ac:dyDescent="0.3">
      <c r="A26">
        <v>25</v>
      </c>
      <c r="B26" t="s">
        <v>53</v>
      </c>
      <c r="D26">
        <v>44.961917700000001</v>
      </c>
      <c r="E26">
        <v>20.240895500000001</v>
      </c>
    </row>
    <row r="27" spans="1:5" x14ac:dyDescent="0.3">
      <c r="A27">
        <v>26</v>
      </c>
      <c r="B27" t="s">
        <v>54</v>
      </c>
      <c r="D27">
        <v>44.812544899999999</v>
      </c>
      <c r="E27">
        <v>20.46123</v>
      </c>
    </row>
    <row r="28" spans="1:5" x14ac:dyDescent="0.3">
      <c r="A28">
        <v>27</v>
      </c>
      <c r="B28" t="s">
        <v>55</v>
      </c>
      <c r="D28">
        <v>44.812544899999999</v>
      </c>
      <c r="E28">
        <v>20.46123</v>
      </c>
    </row>
    <row r="29" spans="1:5" x14ac:dyDescent="0.3">
      <c r="A29">
        <v>28</v>
      </c>
      <c r="B29" t="s">
        <v>56</v>
      </c>
      <c r="D29">
        <v>45.287267999999997</v>
      </c>
      <c r="E29">
        <v>19.8131947</v>
      </c>
    </row>
    <row r="30" spans="1:5" x14ac:dyDescent="0.3">
      <c r="A30">
        <v>29</v>
      </c>
      <c r="B30" t="s">
        <v>57</v>
      </c>
      <c r="D30">
        <v>44.809550899999998</v>
      </c>
      <c r="E30">
        <v>20.404247099999999</v>
      </c>
    </row>
    <row r="31" spans="1:5" x14ac:dyDescent="0.3">
      <c r="A31">
        <v>30</v>
      </c>
      <c r="B31" t="s">
        <v>58</v>
      </c>
      <c r="D31">
        <v>44.755217299999998</v>
      </c>
      <c r="E31">
        <v>20.482728399999999</v>
      </c>
    </row>
    <row r="32" spans="1:5" x14ac:dyDescent="0.3">
      <c r="A32">
        <v>31</v>
      </c>
      <c r="B32" t="s">
        <v>59</v>
      </c>
      <c r="D32">
        <v>44.809157900000002</v>
      </c>
      <c r="E32">
        <v>20.465315100000002</v>
      </c>
    </row>
    <row r="33" spans="1:5" x14ac:dyDescent="0.3">
      <c r="A33">
        <v>32</v>
      </c>
      <c r="B33" t="s">
        <v>60</v>
      </c>
      <c r="D33">
        <v>44.9045141</v>
      </c>
      <c r="E33">
        <v>20.2720807</v>
      </c>
    </row>
    <row r="34" spans="1:5" x14ac:dyDescent="0.3">
      <c r="A34">
        <v>33</v>
      </c>
      <c r="B34" t="s">
        <v>61</v>
      </c>
      <c r="D34">
        <v>44.7563107</v>
      </c>
      <c r="E34">
        <v>20.351695400000001</v>
      </c>
    </row>
    <row r="35" spans="1:5" x14ac:dyDescent="0.3">
      <c r="A35">
        <v>34</v>
      </c>
      <c r="B35" t="s">
        <v>62</v>
      </c>
      <c r="D35">
        <v>44.869885699999998</v>
      </c>
      <c r="E35">
        <v>20.355180499999999</v>
      </c>
    </row>
    <row r="36" spans="1:5" x14ac:dyDescent="0.3">
      <c r="A36">
        <v>35</v>
      </c>
      <c r="B36" t="s">
        <v>63</v>
      </c>
      <c r="D36">
        <v>45.118836899999998</v>
      </c>
      <c r="E36">
        <v>21.294993099999999</v>
      </c>
    </row>
    <row r="37" spans="1:5" x14ac:dyDescent="0.3">
      <c r="A37">
        <v>36</v>
      </c>
      <c r="B37" t="s">
        <v>64</v>
      </c>
      <c r="D37">
        <v>44.836333400000001</v>
      </c>
      <c r="E37">
        <v>20.672829799999999</v>
      </c>
    </row>
    <row r="38" spans="1:5" x14ac:dyDescent="0.3">
      <c r="A38">
        <v>37</v>
      </c>
      <c r="B38" t="s">
        <v>65</v>
      </c>
      <c r="D38">
        <v>43.608944399999999</v>
      </c>
      <c r="E38">
        <v>21.317576299999999</v>
      </c>
    </row>
    <row r="39" spans="1:5" x14ac:dyDescent="0.3">
      <c r="A39">
        <v>38</v>
      </c>
      <c r="B39" t="s">
        <v>66</v>
      </c>
      <c r="D39">
        <v>44.812544899999999</v>
      </c>
      <c r="E39">
        <v>20.46123</v>
      </c>
    </row>
    <row r="40" spans="1:5" x14ac:dyDescent="0.3">
      <c r="A40">
        <v>39</v>
      </c>
      <c r="B40" t="s">
        <v>67</v>
      </c>
      <c r="D40">
        <v>45.246914500000003</v>
      </c>
      <c r="E40">
        <v>19.7264993</v>
      </c>
    </row>
    <row r="41" spans="1:5" x14ac:dyDescent="0.3">
      <c r="A41">
        <v>40</v>
      </c>
      <c r="B41" t="s">
        <v>68</v>
      </c>
      <c r="D41">
        <v>44.812544899999999</v>
      </c>
      <c r="E41">
        <v>20.46123</v>
      </c>
    </row>
    <row r="42" spans="1:5" x14ac:dyDescent="0.3">
      <c r="A42">
        <v>41</v>
      </c>
      <c r="B42" t="s">
        <v>69</v>
      </c>
      <c r="D42">
        <v>44.016520999999997</v>
      </c>
      <c r="E42">
        <v>21.005859000000001</v>
      </c>
    </row>
    <row r="43" spans="1:5" x14ac:dyDescent="0.3">
      <c r="A43">
        <v>42</v>
      </c>
      <c r="B43" t="s">
        <v>70</v>
      </c>
      <c r="D43">
        <v>44.750109700000003</v>
      </c>
      <c r="E43">
        <v>19.712860800000001</v>
      </c>
    </row>
    <row r="44" spans="1:5" x14ac:dyDescent="0.3">
      <c r="A44">
        <v>43</v>
      </c>
      <c r="B44" t="s">
        <v>71</v>
      </c>
      <c r="D44">
        <v>44.811711299999999</v>
      </c>
      <c r="E44">
        <v>20.397892800000001</v>
      </c>
    </row>
    <row r="45" spans="1:5" x14ac:dyDescent="0.3">
      <c r="A45">
        <v>44</v>
      </c>
      <c r="B45" t="s">
        <v>72</v>
      </c>
      <c r="D45">
        <v>44.813423999999998</v>
      </c>
      <c r="E45">
        <v>20.394737299999999</v>
      </c>
    </row>
    <row r="46" spans="1:5" x14ac:dyDescent="0.3">
      <c r="A46">
        <v>45</v>
      </c>
      <c r="B46" t="s">
        <v>73</v>
      </c>
      <c r="D46">
        <v>44.973254699999998</v>
      </c>
      <c r="E46">
        <v>19.647533599999999</v>
      </c>
    </row>
    <row r="47" spans="1:5" x14ac:dyDescent="0.3">
      <c r="A47">
        <v>46</v>
      </c>
      <c r="B47" t="s">
        <v>74</v>
      </c>
      <c r="D47">
        <v>44.822763100000003</v>
      </c>
      <c r="E47">
        <v>20.4155199</v>
      </c>
    </row>
    <row r="48" spans="1:5" x14ac:dyDescent="0.3">
      <c r="A48">
        <v>47</v>
      </c>
      <c r="B48" t="s">
        <v>75</v>
      </c>
      <c r="D48">
        <v>44.289262399999998</v>
      </c>
      <c r="E48">
        <v>22.6018744</v>
      </c>
    </row>
    <row r="49" spans="1:5" x14ac:dyDescent="0.3">
      <c r="A49">
        <v>48</v>
      </c>
      <c r="B49" t="s">
        <v>76</v>
      </c>
      <c r="D49">
        <v>44.810279000000001</v>
      </c>
      <c r="E49">
        <v>20.422881400000001</v>
      </c>
    </row>
    <row r="50" spans="1:5" x14ac:dyDescent="0.3">
      <c r="A50">
        <v>49</v>
      </c>
      <c r="B50" t="s">
        <v>77</v>
      </c>
      <c r="D50">
        <v>44.812544899999999</v>
      </c>
      <c r="E50">
        <v>20.46123</v>
      </c>
    </row>
    <row r="51" spans="1:5" x14ac:dyDescent="0.3">
      <c r="A51">
        <v>50</v>
      </c>
      <c r="B51" t="s">
        <v>78</v>
      </c>
      <c r="D51">
        <v>44.007095300000003</v>
      </c>
      <c r="E51">
        <v>20.905337400000001</v>
      </c>
    </row>
    <row r="52" spans="1:5" x14ac:dyDescent="0.3">
      <c r="A52">
        <v>51</v>
      </c>
      <c r="B52" t="s">
        <v>79</v>
      </c>
      <c r="D52">
        <v>44.810213999999988</v>
      </c>
      <c r="E52">
        <v>20.4353081</v>
      </c>
    </row>
    <row r="53" spans="1:5" x14ac:dyDescent="0.3">
      <c r="A53">
        <v>52</v>
      </c>
      <c r="B53" t="s">
        <v>80</v>
      </c>
      <c r="D53">
        <v>44.781568100000001</v>
      </c>
      <c r="E53">
        <v>20.463465599999999</v>
      </c>
    </row>
    <row r="54" spans="1:5" x14ac:dyDescent="0.3">
      <c r="A54">
        <v>53</v>
      </c>
      <c r="B54" t="s">
        <v>81</v>
      </c>
      <c r="D54">
        <v>43.333678499999998</v>
      </c>
      <c r="E54">
        <v>21.882059399999999</v>
      </c>
    </row>
    <row r="55" spans="1:5" x14ac:dyDescent="0.3">
      <c r="A55">
        <v>54</v>
      </c>
      <c r="B55" t="s">
        <v>82</v>
      </c>
      <c r="D55">
        <v>44.812544899999999</v>
      </c>
      <c r="E55">
        <v>20.46123</v>
      </c>
    </row>
    <row r="56" spans="1:5" x14ac:dyDescent="0.3">
      <c r="A56">
        <v>55</v>
      </c>
      <c r="B56" t="s">
        <v>83</v>
      </c>
      <c r="D56">
        <v>44.8019976</v>
      </c>
      <c r="E56">
        <v>20.4196928</v>
      </c>
    </row>
    <row r="57" spans="1:5" x14ac:dyDescent="0.3">
      <c r="A57">
        <v>56</v>
      </c>
      <c r="B57" t="s">
        <v>84</v>
      </c>
      <c r="D57">
        <v>44.273702</v>
      </c>
      <c r="E57">
        <v>19.9141789</v>
      </c>
    </row>
    <row r="58" spans="1:5" x14ac:dyDescent="0.3">
      <c r="A58">
        <v>57</v>
      </c>
      <c r="B58" t="s">
        <v>85</v>
      </c>
      <c r="D58">
        <v>44.848859099999999</v>
      </c>
      <c r="E58">
        <v>20.375405399999998</v>
      </c>
    </row>
    <row r="59" spans="1:5" x14ac:dyDescent="0.3">
      <c r="A59">
        <v>58</v>
      </c>
      <c r="B59" t="s">
        <v>86</v>
      </c>
      <c r="D59">
        <v>45.278424399999999</v>
      </c>
      <c r="E59">
        <v>19.810267</v>
      </c>
    </row>
    <row r="60" spans="1:5" x14ac:dyDescent="0.3">
      <c r="A60">
        <v>59</v>
      </c>
      <c r="B60" t="s">
        <v>87</v>
      </c>
      <c r="D60">
        <v>45.255797000000001</v>
      </c>
      <c r="E60">
        <v>19.834318799999998</v>
      </c>
    </row>
    <row r="61" spans="1:5" x14ac:dyDescent="0.3">
      <c r="A61">
        <v>60</v>
      </c>
      <c r="B61" t="s">
        <v>88</v>
      </c>
      <c r="D61">
        <v>45.930754700000001</v>
      </c>
      <c r="E61">
        <v>20.090633</v>
      </c>
    </row>
    <row r="62" spans="1:5" x14ac:dyDescent="0.3">
      <c r="A62">
        <v>61</v>
      </c>
      <c r="B62" t="s">
        <v>89</v>
      </c>
      <c r="D62">
        <v>44.739603000000002</v>
      </c>
      <c r="E62">
        <v>20.4232142</v>
      </c>
    </row>
    <row r="63" spans="1:5" x14ac:dyDescent="0.3">
      <c r="A63">
        <v>62</v>
      </c>
      <c r="B63" t="s">
        <v>90</v>
      </c>
      <c r="D63">
        <v>44.801382799999999</v>
      </c>
      <c r="E63">
        <v>20.413426000000001</v>
      </c>
    </row>
    <row r="64" spans="1:5" x14ac:dyDescent="0.3">
      <c r="A64">
        <v>63</v>
      </c>
      <c r="B64" t="s">
        <v>91</v>
      </c>
      <c r="D64">
        <v>44.812544899999999</v>
      </c>
      <c r="E64">
        <v>20.46123</v>
      </c>
    </row>
    <row r="65" spans="1:5" x14ac:dyDescent="0.3">
      <c r="A65">
        <v>64</v>
      </c>
      <c r="B65" t="s">
        <v>92</v>
      </c>
      <c r="D65">
        <v>44.812188300000003</v>
      </c>
      <c r="E65">
        <v>20.4087809</v>
      </c>
    </row>
    <row r="66" spans="1:5" x14ac:dyDescent="0.3">
      <c r="A66">
        <v>65</v>
      </c>
      <c r="B66" t="s">
        <v>93</v>
      </c>
      <c r="D66">
        <v>44.081046099999988</v>
      </c>
      <c r="E66">
        <v>22.099921899999998</v>
      </c>
    </row>
    <row r="67" spans="1:5" x14ac:dyDescent="0.3">
      <c r="A67">
        <v>66</v>
      </c>
      <c r="B67" t="s">
        <v>94</v>
      </c>
      <c r="D67">
        <v>44.928379500000013</v>
      </c>
      <c r="E67">
        <v>20.43957</v>
      </c>
    </row>
    <row r="68" spans="1:5" x14ac:dyDescent="0.3">
      <c r="A68">
        <v>67</v>
      </c>
      <c r="B68" t="s">
        <v>95</v>
      </c>
      <c r="D68">
        <v>45.239608500000003</v>
      </c>
      <c r="E68">
        <v>19.822705599999999</v>
      </c>
    </row>
    <row r="69" spans="1:5" x14ac:dyDescent="0.3">
      <c r="A69">
        <v>68</v>
      </c>
      <c r="B69" t="s">
        <v>96</v>
      </c>
      <c r="D69">
        <v>44.812002399999997</v>
      </c>
      <c r="E69">
        <v>20.3958744</v>
      </c>
    </row>
    <row r="70" spans="1:5" x14ac:dyDescent="0.3">
      <c r="A70">
        <v>69</v>
      </c>
      <c r="B70" t="s">
        <v>97</v>
      </c>
      <c r="D70">
        <v>45.929951500000001</v>
      </c>
      <c r="E70">
        <v>19.757725300000001</v>
      </c>
    </row>
    <row r="71" spans="1:5" x14ac:dyDescent="0.3">
      <c r="A71">
        <v>70</v>
      </c>
      <c r="B71" t="s">
        <v>98</v>
      </c>
      <c r="D71">
        <v>45.599990699999999</v>
      </c>
      <c r="E71">
        <v>20.021788000000001</v>
      </c>
    </row>
    <row r="72" spans="1:5" x14ac:dyDescent="0.3">
      <c r="A72">
        <v>71</v>
      </c>
      <c r="B72" t="s">
        <v>99</v>
      </c>
      <c r="D72">
        <v>43.842602199999988</v>
      </c>
      <c r="E72">
        <v>19.893188200000001</v>
      </c>
    </row>
    <row r="73" spans="1:5" x14ac:dyDescent="0.3">
      <c r="A73">
        <v>72</v>
      </c>
      <c r="B73" t="s">
        <v>100</v>
      </c>
      <c r="D73">
        <v>44.812544899999999</v>
      </c>
      <c r="E73">
        <v>20.46123</v>
      </c>
    </row>
    <row r="74" spans="1:5" x14ac:dyDescent="0.3">
      <c r="A74">
        <v>73</v>
      </c>
      <c r="B74" t="s">
        <v>101</v>
      </c>
      <c r="D74">
        <v>44.794638200000001</v>
      </c>
      <c r="E74">
        <v>20.331002099999999</v>
      </c>
    </row>
    <row r="75" spans="1:5" x14ac:dyDescent="0.3">
      <c r="A75">
        <v>74</v>
      </c>
      <c r="B75" t="s">
        <v>102</v>
      </c>
      <c r="D75">
        <v>44.272826999999999</v>
      </c>
      <c r="E75">
        <v>19.885764000000002</v>
      </c>
    </row>
    <row r="76" spans="1:5" x14ac:dyDescent="0.3">
      <c r="A76">
        <v>75</v>
      </c>
      <c r="B76" t="s">
        <v>103</v>
      </c>
      <c r="D76">
        <v>43.341616700000003</v>
      </c>
      <c r="E76">
        <v>21.8634016</v>
      </c>
    </row>
    <row r="77" spans="1:5" x14ac:dyDescent="0.3">
      <c r="A77">
        <v>76</v>
      </c>
      <c r="B77" t="s">
        <v>104</v>
      </c>
      <c r="D77">
        <v>45.389303599999998</v>
      </c>
      <c r="E77">
        <v>20.4216528</v>
      </c>
    </row>
    <row r="78" spans="1:5" x14ac:dyDescent="0.3">
      <c r="A78">
        <v>77</v>
      </c>
      <c r="B78" t="s">
        <v>105</v>
      </c>
      <c r="D78">
        <v>45.113768999999998</v>
      </c>
      <c r="E78">
        <v>19.220123999999998</v>
      </c>
    </row>
    <row r="79" spans="1:5" x14ac:dyDescent="0.3">
      <c r="A79">
        <v>78</v>
      </c>
      <c r="B79" t="s">
        <v>106</v>
      </c>
      <c r="D79">
        <v>45.255797000000001</v>
      </c>
      <c r="E79">
        <v>19.834318799999998</v>
      </c>
    </row>
    <row r="80" spans="1:5" x14ac:dyDescent="0.3">
      <c r="A80">
        <v>79</v>
      </c>
      <c r="B80" t="s">
        <v>107</v>
      </c>
      <c r="D80">
        <v>45.239608500000003</v>
      </c>
      <c r="E80">
        <v>19.822705599999999</v>
      </c>
    </row>
    <row r="81" spans="1:5" x14ac:dyDescent="0.3">
      <c r="A81">
        <v>80</v>
      </c>
      <c r="B81" t="s">
        <v>108</v>
      </c>
      <c r="D81">
        <v>44.812544899999999</v>
      </c>
      <c r="E81">
        <v>20.46123</v>
      </c>
    </row>
    <row r="82" spans="1:5" x14ac:dyDescent="0.3">
      <c r="A82">
        <v>81</v>
      </c>
      <c r="B82" t="s">
        <v>109</v>
      </c>
      <c r="D82">
        <v>44.016520999999997</v>
      </c>
      <c r="E82">
        <v>21.005859000000001</v>
      </c>
    </row>
    <row r="83" spans="1:5" x14ac:dyDescent="0.3">
      <c r="A83">
        <v>82</v>
      </c>
      <c r="B83" t="s">
        <v>110</v>
      </c>
      <c r="D83">
        <v>43.840436099999998</v>
      </c>
      <c r="E83">
        <v>19.887398000000001</v>
      </c>
    </row>
    <row r="84" spans="1:5" x14ac:dyDescent="0.3">
      <c r="A84">
        <v>83</v>
      </c>
      <c r="B84" t="s">
        <v>111</v>
      </c>
      <c r="D84">
        <v>44.812544899999999</v>
      </c>
      <c r="E84">
        <v>20.46123</v>
      </c>
    </row>
    <row r="85" spans="1:5" x14ac:dyDescent="0.3">
      <c r="A85">
        <v>84</v>
      </c>
      <c r="B85" t="s">
        <v>112</v>
      </c>
      <c r="D85">
        <v>44.798792800000001</v>
      </c>
      <c r="E85">
        <v>20.419107799999999</v>
      </c>
    </row>
    <row r="86" spans="1:5" x14ac:dyDescent="0.3">
      <c r="A86">
        <v>85</v>
      </c>
      <c r="B86" t="s">
        <v>113</v>
      </c>
      <c r="D86">
        <v>43.5997445</v>
      </c>
      <c r="E86">
        <v>21.356512599999999</v>
      </c>
    </row>
    <row r="87" spans="1:5" x14ac:dyDescent="0.3">
      <c r="A87">
        <v>86</v>
      </c>
      <c r="B87" t="s">
        <v>114</v>
      </c>
      <c r="D87">
        <v>45.369148500000001</v>
      </c>
      <c r="E87">
        <v>19.850301300000002</v>
      </c>
    </row>
    <row r="88" spans="1:5" x14ac:dyDescent="0.3">
      <c r="A88">
        <v>87</v>
      </c>
      <c r="B88" t="s">
        <v>115</v>
      </c>
      <c r="D88">
        <v>44.016520999999997</v>
      </c>
      <c r="E88">
        <v>21.005859000000001</v>
      </c>
    </row>
    <row r="89" spans="1:5" x14ac:dyDescent="0.3">
      <c r="A89">
        <v>88</v>
      </c>
      <c r="B89" t="s">
        <v>116</v>
      </c>
      <c r="D89">
        <v>44.338009199999988</v>
      </c>
      <c r="E89">
        <v>20.506908800000001</v>
      </c>
    </row>
    <row r="90" spans="1:5" x14ac:dyDescent="0.3">
      <c r="A90">
        <v>89</v>
      </c>
      <c r="B90" t="s">
        <v>117</v>
      </c>
      <c r="D90">
        <v>44.678945900000002</v>
      </c>
      <c r="E90">
        <v>20.3037423</v>
      </c>
    </row>
    <row r="91" spans="1:5" x14ac:dyDescent="0.3">
      <c r="A91">
        <v>90</v>
      </c>
      <c r="B91" t="s">
        <v>118</v>
      </c>
      <c r="D91">
        <v>44.425455700000001</v>
      </c>
      <c r="E91">
        <v>21.0760197</v>
      </c>
    </row>
    <row r="92" spans="1:5" x14ac:dyDescent="0.3">
      <c r="A92">
        <v>91</v>
      </c>
      <c r="B92" t="s">
        <v>119</v>
      </c>
      <c r="D92">
        <v>44.816075599999998</v>
      </c>
      <c r="E92">
        <v>20.394818099999998</v>
      </c>
    </row>
    <row r="93" spans="1:5" x14ac:dyDescent="0.3">
      <c r="A93">
        <v>92</v>
      </c>
      <c r="B93" t="s">
        <v>120</v>
      </c>
      <c r="D93">
        <v>44.810670999999999</v>
      </c>
      <c r="E93">
        <v>20.401806000000001</v>
      </c>
    </row>
    <row r="94" spans="1:5" x14ac:dyDescent="0.3">
      <c r="A94">
        <v>93</v>
      </c>
      <c r="B94" t="s">
        <v>121</v>
      </c>
      <c r="D94">
        <v>44.869440900000001</v>
      </c>
      <c r="E94">
        <v>20.762233699999999</v>
      </c>
    </row>
    <row r="95" spans="1:5" x14ac:dyDescent="0.3">
      <c r="A95">
        <v>94</v>
      </c>
      <c r="B95" t="s">
        <v>122</v>
      </c>
      <c r="D95">
        <v>45.045792200000001</v>
      </c>
      <c r="E95">
        <v>20.101264100000002</v>
      </c>
    </row>
    <row r="96" spans="1:5" x14ac:dyDescent="0.3">
      <c r="A96">
        <v>95</v>
      </c>
      <c r="B96" t="s">
        <v>123</v>
      </c>
      <c r="D96">
        <v>44.810220299999997</v>
      </c>
      <c r="E96">
        <v>20.412199000000001</v>
      </c>
    </row>
    <row r="97" spans="1:5" x14ac:dyDescent="0.3">
      <c r="A97">
        <v>97</v>
      </c>
      <c r="B97" t="s">
        <v>124</v>
      </c>
      <c r="D97">
        <v>44.812544899999999</v>
      </c>
      <c r="E97">
        <v>20.46123</v>
      </c>
    </row>
    <row r="98" spans="1:5" x14ac:dyDescent="0.3">
      <c r="A98">
        <v>98</v>
      </c>
      <c r="B98" t="s">
        <v>125</v>
      </c>
      <c r="D98">
        <v>45.206033099999999</v>
      </c>
      <c r="E98">
        <v>19.7129485</v>
      </c>
    </row>
    <row r="99" spans="1:5" x14ac:dyDescent="0.3">
      <c r="A99">
        <v>99</v>
      </c>
      <c r="B99" t="s">
        <v>126</v>
      </c>
      <c r="D99">
        <v>44.816299600000001</v>
      </c>
      <c r="E99">
        <v>20.4200029</v>
      </c>
    </row>
    <row r="100" spans="1:5" x14ac:dyDescent="0.3">
      <c r="A100">
        <v>100</v>
      </c>
      <c r="B100" t="s">
        <v>127</v>
      </c>
      <c r="D100">
        <v>44.812544899999999</v>
      </c>
      <c r="E100">
        <v>20.46123</v>
      </c>
    </row>
    <row r="101" spans="1:5" x14ac:dyDescent="0.3">
      <c r="A101">
        <v>101</v>
      </c>
      <c r="B101" t="s">
        <v>128</v>
      </c>
      <c r="D101">
        <v>45.373970800000002</v>
      </c>
      <c r="E101">
        <v>20.413179299999999</v>
      </c>
    </row>
    <row r="102" spans="1:5" x14ac:dyDescent="0.3">
      <c r="A102">
        <v>102</v>
      </c>
      <c r="B102" t="s">
        <v>129</v>
      </c>
      <c r="D102">
        <v>44.849001299999998</v>
      </c>
      <c r="E102">
        <v>20.100940699999999</v>
      </c>
    </row>
    <row r="103" spans="1:5" x14ac:dyDescent="0.3">
      <c r="A103">
        <v>103</v>
      </c>
      <c r="B103" t="s">
        <v>130</v>
      </c>
      <c r="D103">
        <v>44.8505866</v>
      </c>
      <c r="E103">
        <v>20.525140100000002</v>
      </c>
    </row>
    <row r="104" spans="1:5" x14ac:dyDescent="0.3">
      <c r="A104">
        <v>104</v>
      </c>
      <c r="B104" t="s">
        <v>131</v>
      </c>
      <c r="D104">
        <v>44.812310099999998</v>
      </c>
      <c r="E104">
        <v>20.396493499999998</v>
      </c>
    </row>
    <row r="105" spans="1:5" x14ac:dyDescent="0.3">
      <c r="A105">
        <v>105</v>
      </c>
      <c r="B105" t="s">
        <v>132</v>
      </c>
      <c r="D105">
        <v>44.030008900000013</v>
      </c>
      <c r="E105">
        <v>20.950015100000002</v>
      </c>
    </row>
    <row r="106" spans="1:5" x14ac:dyDescent="0.3">
      <c r="A106">
        <v>106</v>
      </c>
      <c r="B106" t="s">
        <v>133</v>
      </c>
      <c r="D106">
        <v>44.813693499999999</v>
      </c>
      <c r="E106">
        <v>20.520944499999999</v>
      </c>
    </row>
    <row r="107" spans="1:5" x14ac:dyDescent="0.3">
      <c r="A107">
        <v>107</v>
      </c>
      <c r="B107" t="s">
        <v>134</v>
      </c>
      <c r="D107">
        <v>45.281727099999998</v>
      </c>
      <c r="E107">
        <v>19.800654699999999</v>
      </c>
    </row>
    <row r="108" spans="1:5" x14ac:dyDescent="0.3">
      <c r="A108">
        <v>108</v>
      </c>
      <c r="B108" t="s">
        <v>135</v>
      </c>
      <c r="D108">
        <v>44.812544899999999</v>
      </c>
      <c r="E108">
        <v>20.46123</v>
      </c>
    </row>
    <row r="109" spans="1:5" x14ac:dyDescent="0.3">
      <c r="A109">
        <v>109</v>
      </c>
      <c r="B109" t="s">
        <v>136</v>
      </c>
      <c r="D109">
        <v>45.243885400000003</v>
      </c>
      <c r="E109">
        <v>19.777396899999999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Koks, E.E. (Elco)</cp:lastModifiedBy>
  <dcterms:created xsi:type="dcterms:W3CDTF">2025-07-21T10:34:39Z</dcterms:created>
  <dcterms:modified xsi:type="dcterms:W3CDTF">2025-12-12T06:55:04Z</dcterms:modified>
</cp:coreProperties>
</file>